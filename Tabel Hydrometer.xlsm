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Works\Software Lab\"/>
    </mc:Choice>
  </mc:AlternateContent>
  <xr:revisionPtr revIDLastSave="0" documentId="10_ncr:8100000_{A7E4957F-1B7E-4569-B0E7-4DF5C9D392FB}" xr6:coauthVersionLast="34" xr6:coauthVersionMax="34" xr10:uidLastSave="{00000000-0000-0000-0000-000000000000}"/>
  <bookViews>
    <workbookView xWindow="0" yWindow="0" windowWidth="19200" windowHeight="6960" xr2:uid="{E20F0D74-D976-4C16-B181-5D1A51B635CB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1" l="1"/>
  <c r="P8" i="1" s="1"/>
  <c r="P6" i="1"/>
  <c r="Y8" i="1"/>
  <c r="Y5" i="1"/>
  <c r="Y4" i="1"/>
  <c r="Y3" i="1"/>
  <c r="R2" i="1" l="1"/>
  <c r="S2" i="1" s="1"/>
  <c r="P9" i="1" l="1"/>
</calcChain>
</file>

<file path=xl/sharedStrings.xml><?xml version="1.0" encoding="utf-8"?>
<sst xmlns="http://schemas.openxmlformats.org/spreadsheetml/2006/main" count="21" uniqueCount="16">
  <si>
    <t>Ct</t>
  </si>
  <si>
    <t>T</t>
  </si>
  <si>
    <t>a</t>
  </si>
  <si>
    <t>Gs</t>
  </si>
  <si>
    <t>R</t>
  </si>
  <si>
    <t>L</t>
  </si>
  <si>
    <t>Gw</t>
  </si>
  <si>
    <t>n</t>
  </si>
  <si>
    <t>t</t>
  </si>
  <si>
    <t>gs</t>
  </si>
  <si>
    <t>D</t>
  </si>
  <si>
    <t>Rcl</t>
  </si>
  <si>
    <t>A</t>
  </si>
  <si>
    <t>Percent Finer</t>
  </si>
  <si>
    <t>(mm)</t>
  </si>
  <si>
    <t>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</si>
</sst>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58BE2-00AB-4AA1-B014-27CDC4B6D2F3}">
  <sheetPr codeName="Sheet1"/>
  <dimension ref="A1:Y62"/>
  <sheetViews>
    <sheetView tabSelected="1" topLeftCell="I1" workbookViewId="0">
      <selection activeCell="U10" sqref="U10"/>
    </sheetView>
  </sheetViews>
  <sheetFormatPr defaultRowHeight="14.5" x14ac:dyDescent="0.35"/>
  <cols>
    <col min="1" max="18" width="8.7265625" style="1"/>
    <col min="19" max="19" width="13.36328125" style="1" customWidth="1"/>
    <col min="20" max="16384" width="8.7265625" style="1"/>
  </cols>
  <sheetData>
    <row r="1" spans="1:25" x14ac:dyDescent="0.35">
      <c r="A1" s="1" t="s">
        <v>1</v>
      </c>
      <c r="B1" s="1" t="s">
        <v>0</v>
      </c>
      <c r="D1" s="1" t="s">
        <v>3</v>
      </c>
      <c r="E1" s="1" t="s">
        <v>2</v>
      </c>
      <c r="G1" s="1" t="s">
        <v>4</v>
      </c>
      <c r="H1" s="1" t="s">
        <v>5</v>
      </c>
      <c r="J1" s="1" t="s">
        <v>1</v>
      </c>
      <c r="K1" s="1" t="s">
        <v>6</v>
      </c>
      <c r="L1" s="1" t="s">
        <v>7</v>
      </c>
      <c r="N1" s="1" t="s">
        <v>8</v>
      </c>
      <c r="O1" s="1" t="s">
        <v>9</v>
      </c>
      <c r="P1" s="1" t="s">
        <v>1</v>
      </c>
      <c r="Q1" s="1" t="s">
        <v>11</v>
      </c>
      <c r="R1" s="1" t="s">
        <v>5</v>
      </c>
      <c r="S1" s="1" t="s">
        <v>10</v>
      </c>
      <c r="U1" s="1" t="s">
        <v>10</v>
      </c>
      <c r="V1" s="1" t="s">
        <v>13</v>
      </c>
    </row>
    <row r="2" spans="1:25" x14ac:dyDescent="0.35">
      <c r="A2" s="1">
        <v>15</v>
      </c>
      <c r="B2" s="1">
        <v>-1.1000000000000001</v>
      </c>
      <c r="D2" s="1">
        <v>2.95</v>
      </c>
      <c r="E2" s="1">
        <v>0.94</v>
      </c>
      <c r="G2" s="1">
        <v>0</v>
      </c>
      <c r="H2" s="1">
        <v>16.3</v>
      </c>
      <c r="J2" s="1">
        <v>4</v>
      </c>
      <c r="K2" s="1">
        <v>1</v>
      </c>
      <c r="L2" s="1">
        <v>1.567E-2</v>
      </c>
      <c r="N2" s="1">
        <v>1</v>
      </c>
      <c r="O2" s="1">
        <v>2.39</v>
      </c>
      <c r="P2" s="1">
        <v>30</v>
      </c>
      <c r="Q2" s="1">
        <v>44</v>
      </c>
      <c r="R2" s="2">
        <f>hydroL(Q2,G2:G62,H2:H62)</f>
        <v>9.1</v>
      </c>
      <c r="S2" s="3">
        <f>hydroD(R2,N2,P2,O2,J2:J17,K2:K17,L2:L17)</f>
        <v>3.9983595889062411E-2</v>
      </c>
      <c r="U2" s="1" t="s">
        <v>14</v>
      </c>
      <c r="V2" s="1" t="s">
        <v>15</v>
      </c>
    </row>
    <row r="3" spans="1:25" x14ac:dyDescent="0.35">
      <c r="A3" s="1">
        <v>16</v>
      </c>
      <c r="B3" s="1">
        <v>-0.9</v>
      </c>
      <c r="D3" s="1">
        <v>2.9</v>
      </c>
      <c r="E3" s="1">
        <v>0.95</v>
      </c>
      <c r="G3" s="1">
        <v>1</v>
      </c>
      <c r="H3" s="1">
        <v>16.100000000000001</v>
      </c>
      <c r="J3" s="1">
        <v>16</v>
      </c>
      <c r="K3" s="1">
        <v>0.99897000000000002</v>
      </c>
      <c r="L3" s="1">
        <v>1.111E-2</v>
      </c>
      <c r="U3" s="1">
        <v>4.5967578914446819E-2</v>
      </c>
      <c r="V3" s="1">
        <v>68.547277916153391</v>
      </c>
      <c r="X3" s="1">
        <v>7.4999999999999997E-2</v>
      </c>
      <c r="Y3" s="1">
        <f>InterpolasiLinear(U3:U6,V3:V6,X3)</f>
        <v>0</v>
      </c>
    </row>
    <row r="4" spans="1:25" x14ac:dyDescent="0.35">
      <c r="A4" s="1">
        <v>17</v>
      </c>
      <c r="B4" s="1">
        <v>-0.7</v>
      </c>
      <c r="D4" s="1">
        <v>2.85</v>
      </c>
      <c r="E4" s="1">
        <v>0.96</v>
      </c>
      <c r="G4" s="1">
        <v>2</v>
      </c>
      <c r="H4" s="1">
        <v>16</v>
      </c>
      <c r="J4" s="1">
        <v>17</v>
      </c>
      <c r="K4" s="1">
        <v>0.99888999999999994</v>
      </c>
      <c r="L4" s="1">
        <v>1.0829999999999999E-2</v>
      </c>
      <c r="U4" s="1">
        <v>4.1726961661954776E-2</v>
      </c>
      <c r="V4" s="1">
        <v>67.439106024285962</v>
      </c>
      <c r="X4" s="1">
        <v>7.4999999999999997E-2</v>
      </c>
      <c r="Y4" s="1">
        <f>InterpolasiLog(U3:U6,V3:V6,X4)</f>
        <v>0</v>
      </c>
    </row>
    <row r="5" spans="1:25" x14ac:dyDescent="0.35">
      <c r="A5" s="1">
        <v>18</v>
      </c>
      <c r="B5" s="1">
        <v>-0.5</v>
      </c>
      <c r="D5" s="1">
        <v>2.8</v>
      </c>
      <c r="E5" s="1">
        <v>0.97</v>
      </c>
      <c r="G5" s="1">
        <v>3</v>
      </c>
      <c r="H5" s="1">
        <v>15.8</v>
      </c>
      <c r="J5" s="1">
        <v>18</v>
      </c>
      <c r="K5" s="1">
        <v>0.99861999999999995</v>
      </c>
      <c r="L5" s="1">
        <v>1.056E-2</v>
      </c>
      <c r="U5" s="1">
        <v>2.9902260738989276E-2</v>
      </c>
      <c r="V5" s="1">
        <v>65.222762240551106</v>
      </c>
      <c r="X5" s="1">
        <v>7.4999999999999997E-2</v>
      </c>
      <c r="Y5" s="1">
        <f>TrendLinear(U3:U6,V3:V6,X5)</f>
        <v>74.868790368459514</v>
      </c>
    </row>
    <row r="6" spans="1:25" x14ac:dyDescent="0.35">
      <c r="A6" s="1">
        <v>19</v>
      </c>
      <c r="B6" s="1">
        <v>-0.3</v>
      </c>
      <c r="D6" s="1">
        <v>2.75</v>
      </c>
      <c r="E6" s="1">
        <v>9.8000000000000007</v>
      </c>
      <c r="G6" s="1">
        <v>4</v>
      </c>
      <c r="H6" s="1">
        <v>15.6</v>
      </c>
      <c r="J6" s="1">
        <v>19</v>
      </c>
      <c r="K6" s="1">
        <v>0.99843999999999999</v>
      </c>
      <c r="L6" s="1">
        <v>1.03E-2</v>
      </c>
      <c r="P6" s="1">
        <f>VLOOKUP(P2,J2:K17,2,FALSE)</f>
        <v>0.99568000000000001</v>
      </c>
      <c r="Q6" s="1">
        <f>VLOOKUP(P2,J2:L17,3)</f>
        <v>8.0099999999999998E-3</v>
      </c>
      <c r="U6" s="1">
        <v>2.1421026234005193E-2</v>
      </c>
      <c r="V6" s="1">
        <v>63.006418456816242</v>
      </c>
      <c r="Y6" s="1">
        <v>91.091452778469971</v>
      </c>
    </row>
    <row r="7" spans="1:25" x14ac:dyDescent="0.35">
      <c r="A7" s="1">
        <v>20</v>
      </c>
      <c r="B7" s="1">
        <v>0</v>
      </c>
      <c r="D7" s="1">
        <v>2.7</v>
      </c>
      <c r="E7" s="1">
        <v>0.99</v>
      </c>
      <c r="G7" s="1">
        <v>5</v>
      </c>
      <c r="H7" s="1">
        <v>15.5</v>
      </c>
      <c r="J7" s="1">
        <v>20</v>
      </c>
      <c r="K7" s="1">
        <v>0.99822999999999995</v>
      </c>
      <c r="L7" s="1">
        <v>1.005E-2</v>
      </c>
    </row>
    <row r="8" spans="1:25" x14ac:dyDescent="0.35">
      <c r="A8" s="1">
        <v>21</v>
      </c>
      <c r="B8" s="1">
        <v>0.2</v>
      </c>
      <c r="D8" s="1">
        <v>2.65</v>
      </c>
      <c r="E8" s="1">
        <v>1</v>
      </c>
      <c r="G8" s="1">
        <v>6</v>
      </c>
      <c r="H8" s="1">
        <v>15.3</v>
      </c>
      <c r="J8" s="1">
        <v>21</v>
      </c>
      <c r="K8" s="1">
        <v>0.99802000000000002</v>
      </c>
      <c r="L8" s="1">
        <v>9.8099999999999993E-3</v>
      </c>
      <c r="O8" s="1" t="s">
        <v>12</v>
      </c>
      <c r="P8" s="1">
        <f>SQRT(30*Q6/(981*(O2-P6)))</f>
        <v>1.3254432972811496E-2</v>
      </c>
      <c r="Y8" s="1">
        <f>hydroCorrection(Y6,Y5)</f>
        <v>1.2166812410107362</v>
      </c>
    </row>
    <row r="9" spans="1:25" x14ac:dyDescent="0.35">
      <c r="A9" s="1">
        <v>22</v>
      </c>
      <c r="B9" s="1">
        <v>0.4</v>
      </c>
      <c r="D9" s="1">
        <v>2.6</v>
      </c>
      <c r="E9" s="1">
        <v>1.01</v>
      </c>
      <c r="G9" s="1">
        <v>7</v>
      </c>
      <c r="H9" s="1">
        <v>15.2</v>
      </c>
      <c r="J9" s="1">
        <v>22</v>
      </c>
      <c r="K9" s="1">
        <v>0.99780000000000002</v>
      </c>
      <c r="L9" s="1">
        <v>9.58E-3</v>
      </c>
      <c r="O9" s="1" t="s">
        <v>10</v>
      </c>
      <c r="P9" s="1">
        <f>SQRT(R2/N2)*P8</f>
        <v>3.9983595889062411E-2</v>
      </c>
    </row>
    <row r="10" spans="1:25" x14ac:dyDescent="0.35">
      <c r="A10" s="1">
        <v>23</v>
      </c>
      <c r="B10" s="1">
        <v>0.7</v>
      </c>
      <c r="D10" s="1">
        <v>2.5499999999999998</v>
      </c>
      <c r="E10" s="1">
        <v>1.02</v>
      </c>
      <c r="G10" s="1">
        <v>8</v>
      </c>
      <c r="H10" s="1">
        <v>15</v>
      </c>
      <c r="J10" s="1">
        <v>23</v>
      </c>
      <c r="K10" s="1">
        <v>0.99756999999999996</v>
      </c>
      <c r="L10" s="1">
        <v>9.3600000000000003E-3</v>
      </c>
    </row>
    <row r="11" spans="1:25" x14ac:dyDescent="0.35">
      <c r="A11" s="1">
        <v>24</v>
      </c>
      <c r="B11" s="1">
        <v>1</v>
      </c>
      <c r="D11" s="1">
        <v>2.5</v>
      </c>
      <c r="E11" s="1">
        <v>1.03</v>
      </c>
      <c r="G11" s="1">
        <v>9</v>
      </c>
      <c r="H11" s="1">
        <v>14.8</v>
      </c>
      <c r="J11" s="1">
        <v>24</v>
      </c>
      <c r="K11" s="1">
        <v>0.99733000000000005</v>
      </c>
      <c r="L11" s="1">
        <v>9.1400000000000006E-3</v>
      </c>
    </row>
    <row r="12" spans="1:25" x14ac:dyDescent="0.35">
      <c r="A12" s="1">
        <v>25</v>
      </c>
      <c r="B12" s="1">
        <v>1.3</v>
      </c>
      <c r="D12" s="1">
        <v>2.4500000000000002</v>
      </c>
      <c r="E12" s="1">
        <v>1.05</v>
      </c>
      <c r="G12" s="1">
        <v>10</v>
      </c>
      <c r="H12" s="1">
        <v>14.7</v>
      </c>
      <c r="J12" s="1">
        <v>25</v>
      </c>
      <c r="K12" s="1">
        <v>0.99707999999999997</v>
      </c>
      <c r="L12" s="1">
        <v>8.94E-3</v>
      </c>
    </row>
    <row r="13" spans="1:25" x14ac:dyDescent="0.35">
      <c r="A13" s="1">
        <v>26</v>
      </c>
      <c r="B13" s="1">
        <v>1.65</v>
      </c>
      <c r="G13" s="1">
        <v>11</v>
      </c>
      <c r="H13" s="1">
        <v>14.5</v>
      </c>
      <c r="J13" s="1">
        <v>26</v>
      </c>
      <c r="K13" s="1">
        <v>0.99682000000000004</v>
      </c>
      <c r="L13" s="1">
        <v>8.7399999999999995E-3</v>
      </c>
    </row>
    <row r="14" spans="1:25" x14ac:dyDescent="0.35">
      <c r="A14" s="1">
        <v>27</v>
      </c>
      <c r="B14" s="1">
        <v>2</v>
      </c>
      <c r="G14" s="1">
        <v>12</v>
      </c>
      <c r="H14" s="1">
        <v>14.3</v>
      </c>
      <c r="J14" s="1">
        <v>27</v>
      </c>
      <c r="K14" s="1">
        <v>0.99655000000000005</v>
      </c>
      <c r="L14" s="1">
        <v>8.5500000000000003E-3</v>
      </c>
    </row>
    <row r="15" spans="1:25" x14ac:dyDescent="0.35">
      <c r="A15" s="1">
        <v>28</v>
      </c>
      <c r="B15" s="1">
        <v>2.5</v>
      </c>
      <c r="G15" s="1">
        <v>13</v>
      </c>
      <c r="H15" s="1">
        <v>14.2</v>
      </c>
      <c r="J15" s="1">
        <v>28</v>
      </c>
      <c r="K15" s="1">
        <v>0.99626999999999999</v>
      </c>
      <c r="L15" s="1">
        <v>8.3599999999999994E-3</v>
      </c>
    </row>
    <row r="16" spans="1:25" x14ac:dyDescent="0.35">
      <c r="A16" s="1">
        <v>29</v>
      </c>
      <c r="B16" s="1">
        <v>3.05</v>
      </c>
      <c r="G16" s="1">
        <v>14</v>
      </c>
      <c r="H16" s="1">
        <v>14</v>
      </c>
      <c r="J16" s="1">
        <v>29</v>
      </c>
      <c r="K16" s="1">
        <v>0.99597999999999998</v>
      </c>
      <c r="L16" s="1">
        <v>8.1799999999999998E-3</v>
      </c>
    </row>
    <row r="17" spans="1:12" x14ac:dyDescent="0.35">
      <c r="A17" s="1">
        <v>30</v>
      </c>
      <c r="B17" s="1">
        <v>3.8</v>
      </c>
      <c r="G17" s="1">
        <v>15</v>
      </c>
      <c r="H17" s="1">
        <v>13.8</v>
      </c>
      <c r="J17" s="1">
        <v>30</v>
      </c>
      <c r="K17" s="1">
        <v>0.99568000000000001</v>
      </c>
      <c r="L17" s="1">
        <v>8.0099999999999998E-3</v>
      </c>
    </row>
    <row r="18" spans="1:12" x14ac:dyDescent="0.35">
      <c r="G18" s="1">
        <v>16</v>
      </c>
      <c r="H18" s="1">
        <v>13.7</v>
      </c>
    </row>
    <row r="19" spans="1:12" x14ac:dyDescent="0.35">
      <c r="G19" s="1">
        <v>17</v>
      </c>
      <c r="H19" s="1">
        <v>13.5</v>
      </c>
    </row>
    <row r="20" spans="1:12" x14ac:dyDescent="0.35">
      <c r="G20" s="1">
        <v>18</v>
      </c>
      <c r="H20" s="1">
        <v>13.3</v>
      </c>
    </row>
    <row r="21" spans="1:12" x14ac:dyDescent="0.35">
      <c r="G21" s="1">
        <v>19</v>
      </c>
      <c r="H21" s="1">
        <v>13.2</v>
      </c>
    </row>
    <row r="22" spans="1:12" x14ac:dyDescent="0.35">
      <c r="G22" s="1">
        <v>20</v>
      </c>
      <c r="H22" s="1">
        <v>13</v>
      </c>
    </row>
    <row r="23" spans="1:12" x14ac:dyDescent="0.35">
      <c r="G23" s="1">
        <v>21</v>
      </c>
      <c r="H23" s="1">
        <v>12.9</v>
      </c>
    </row>
    <row r="24" spans="1:12" x14ac:dyDescent="0.35">
      <c r="G24" s="1">
        <v>22</v>
      </c>
      <c r="H24" s="1">
        <v>12.7</v>
      </c>
    </row>
    <row r="25" spans="1:12" x14ac:dyDescent="0.35">
      <c r="G25" s="1">
        <v>23</v>
      </c>
      <c r="H25" s="1">
        <v>12.5</v>
      </c>
    </row>
    <row r="26" spans="1:12" x14ac:dyDescent="0.35">
      <c r="G26" s="1">
        <v>24</v>
      </c>
      <c r="H26" s="1">
        <v>12.4</v>
      </c>
    </row>
    <row r="27" spans="1:12" x14ac:dyDescent="0.35">
      <c r="G27" s="1">
        <v>25</v>
      </c>
      <c r="H27" s="1">
        <v>12.2</v>
      </c>
    </row>
    <row r="28" spans="1:12" x14ac:dyDescent="0.35">
      <c r="G28" s="1">
        <v>26</v>
      </c>
      <c r="H28" s="1">
        <v>12</v>
      </c>
    </row>
    <row r="29" spans="1:12" x14ac:dyDescent="0.35">
      <c r="G29" s="1">
        <v>27</v>
      </c>
      <c r="H29" s="1">
        <v>11.9</v>
      </c>
    </row>
    <row r="30" spans="1:12" x14ac:dyDescent="0.35">
      <c r="G30" s="1">
        <v>28</v>
      </c>
      <c r="H30" s="1">
        <v>11.7</v>
      </c>
    </row>
    <row r="31" spans="1:12" x14ac:dyDescent="0.35">
      <c r="G31" s="1">
        <v>29</v>
      </c>
      <c r="H31" s="1">
        <v>11.5</v>
      </c>
    </row>
    <row r="32" spans="1:12" x14ac:dyDescent="0.35">
      <c r="G32" s="1">
        <v>30</v>
      </c>
      <c r="H32" s="1">
        <v>11.4</v>
      </c>
    </row>
    <row r="33" spans="7:8" x14ac:dyDescent="0.35">
      <c r="G33" s="1">
        <v>31</v>
      </c>
      <c r="H33" s="1">
        <v>11.2</v>
      </c>
    </row>
    <row r="34" spans="7:8" x14ac:dyDescent="0.35">
      <c r="G34" s="1">
        <v>32</v>
      </c>
      <c r="H34" s="1">
        <v>11.1</v>
      </c>
    </row>
    <row r="35" spans="7:8" x14ac:dyDescent="0.35">
      <c r="G35" s="1">
        <v>33</v>
      </c>
      <c r="H35" s="1">
        <v>10.9</v>
      </c>
    </row>
    <row r="36" spans="7:8" x14ac:dyDescent="0.35">
      <c r="G36" s="1">
        <v>34</v>
      </c>
      <c r="H36" s="1">
        <v>10.7</v>
      </c>
    </row>
    <row r="37" spans="7:8" x14ac:dyDescent="0.35">
      <c r="G37" s="1">
        <v>35</v>
      </c>
      <c r="H37" s="1">
        <v>10.6</v>
      </c>
    </row>
    <row r="38" spans="7:8" x14ac:dyDescent="0.35">
      <c r="G38" s="1">
        <v>36</v>
      </c>
      <c r="H38" s="1">
        <v>10.4</v>
      </c>
    </row>
    <row r="39" spans="7:8" x14ac:dyDescent="0.35">
      <c r="G39" s="1">
        <v>37</v>
      </c>
      <c r="H39" s="1">
        <v>10.199999999999999</v>
      </c>
    </row>
    <row r="40" spans="7:8" x14ac:dyDescent="0.35">
      <c r="G40" s="1">
        <v>38</v>
      </c>
      <c r="H40" s="1">
        <v>10.1</v>
      </c>
    </row>
    <row r="41" spans="7:8" x14ac:dyDescent="0.35">
      <c r="G41" s="1">
        <v>39</v>
      </c>
      <c r="H41" s="1">
        <v>9.9</v>
      </c>
    </row>
    <row r="42" spans="7:8" x14ac:dyDescent="0.35">
      <c r="G42" s="1">
        <v>40</v>
      </c>
      <c r="H42" s="1">
        <v>9.6999999999999993</v>
      </c>
    </row>
    <row r="43" spans="7:8" x14ac:dyDescent="0.35">
      <c r="G43" s="1">
        <v>41</v>
      </c>
      <c r="H43" s="1">
        <v>9.6</v>
      </c>
    </row>
    <row r="44" spans="7:8" x14ac:dyDescent="0.35">
      <c r="G44" s="1">
        <v>42</v>
      </c>
      <c r="H44" s="1">
        <v>9.4</v>
      </c>
    </row>
    <row r="45" spans="7:8" x14ac:dyDescent="0.35">
      <c r="G45" s="1">
        <v>43</v>
      </c>
      <c r="H45" s="1">
        <v>9.1999999999999993</v>
      </c>
    </row>
    <row r="46" spans="7:8" x14ac:dyDescent="0.35">
      <c r="G46" s="1">
        <v>44</v>
      </c>
      <c r="H46" s="1">
        <v>9.1</v>
      </c>
    </row>
    <row r="47" spans="7:8" x14ac:dyDescent="0.35">
      <c r="G47" s="1">
        <v>45</v>
      </c>
      <c r="H47" s="1">
        <v>8.9</v>
      </c>
    </row>
    <row r="48" spans="7:8" x14ac:dyDescent="0.35">
      <c r="G48" s="1">
        <v>46</v>
      </c>
      <c r="H48" s="1">
        <v>8.8000000000000007</v>
      </c>
    </row>
    <row r="49" spans="7:8" x14ac:dyDescent="0.35">
      <c r="G49" s="1">
        <v>47</v>
      </c>
      <c r="H49" s="1">
        <v>8.6</v>
      </c>
    </row>
    <row r="50" spans="7:8" x14ac:dyDescent="0.35">
      <c r="G50" s="1">
        <v>48</v>
      </c>
      <c r="H50" s="1">
        <v>8.4</v>
      </c>
    </row>
    <row r="51" spans="7:8" x14ac:dyDescent="0.35">
      <c r="G51" s="1">
        <v>49</v>
      </c>
      <c r="H51" s="1">
        <v>8.3000000000000007</v>
      </c>
    </row>
    <row r="52" spans="7:8" x14ac:dyDescent="0.35">
      <c r="G52" s="1">
        <v>50</v>
      </c>
      <c r="H52" s="1">
        <v>8.1</v>
      </c>
    </row>
    <row r="53" spans="7:8" x14ac:dyDescent="0.35">
      <c r="G53" s="1">
        <v>51</v>
      </c>
      <c r="H53" s="1">
        <v>7.9</v>
      </c>
    </row>
    <row r="54" spans="7:8" x14ac:dyDescent="0.35">
      <c r="G54" s="1">
        <v>52</v>
      </c>
      <c r="H54" s="1">
        <v>7.8</v>
      </c>
    </row>
    <row r="55" spans="7:8" x14ac:dyDescent="0.35">
      <c r="G55" s="1">
        <v>53</v>
      </c>
      <c r="H55" s="1">
        <v>7.6</v>
      </c>
    </row>
    <row r="56" spans="7:8" x14ac:dyDescent="0.35">
      <c r="G56" s="1">
        <v>54</v>
      </c>
      <c r="H56" s="1">
        <v>7.4</v>
      </c>
    </row>
    <row r="57" spans="7:8" x14ac:dyDescent="0.35">
      <c r="G57" s="1">
        <v>55</v>
      </c>
      <c r="H57" s="1">
        <v>7.3</v>
      </c>
    </row>
    <row r="58" spans="7:8" x14ac:dyDescent="0.35">
      <c r="G58" s="1">
        <v>56</v>
      </c>
      <c r="H58" s="1">
        <v>7.1</v>
      </c>
    </row>
    <row r="59" spans="7:8" x14ac:dyDescent="0.35">
      <c r="G59" s="1">
        <v>57</v>
      </c>
      <c r="H59" s="1">
        <v>7</v>
      </c>
    </row>
    <row r="60" spans="7:8" x14ac:dyDescent="0.35">
      <c r="G60" s="1">
        <v>58</v>
      </c>
      <c r="H60" s="1">
        <v>6.8</v>
      </c>
    </row>
    <row r="61" spans="7:8" x14ac:dyDescent="0.35">
      <c r="G61" s="1">
        <v>59</v>
      </c>
      <c r="H61" s="1">
        <v>6.6</v>
      </c>
    </row>
    <row r="62" spans="7:8" x14ac:dyDescent="0.35">
      <c r="G62" s="1">
        <v>60</v>
      </c>
      <c r="H62" s="1">
        <v>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</dc:creator>
  <cp:lastModifiedBy>Lea</cp:lastModifiedBy>
  <dcterms:created xsi:type="dcterms:W3CDTF">2018-08-08T08:10:56Z</dcterms:created>
  <dcterms:modified xsi:type="dcterms:W3CDTF">2018-08-08T11:05:24Z</dcterms:modified>
</cp:coreProperties>
</file>